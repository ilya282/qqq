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Илья\Desktop\"/>
    </mc:Choice>
  </mc:AlternateContent>
  <bookViews>
    <workbookView xWindow="0" yWindow="0" windowWidth="12825" windowHeight="12015" activeTab="1"/>
  </bookViews>
  <sheets>
    <sheet name="I" sheetId="1" r:id="rId1"/>
    <sheet name="II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2" l="1"/>
  <c r="F13" i="2" s="1"/>
  <c r="F13" i="1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E14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AH13" i="2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F10" i="2"/>
  <c r="B3" i="2"/>
  <c r="B2" i="2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B3" i="1"/>
  <c r="AI11" i="1"/>
  <c r="E11" i="1"/>
  <c r="B2" i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F14" i="2" l="1"/>
</calcChain>
</file>

<file path=xl/sharedStrings.xml><?xml version="1.0" encoding="utf-8"?>
<sst xmlns="http://schemas.openxmlformats.org/spreadsheetml/2006/main" count="25" uniqueCount="12">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</sst>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8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0" fontId="0" fillId="0" borderId="11" xfId="0" applyBorder="1"/>
    <xf numFmtId="164" fontId="0" fillId="0" borderId="12" xfId="0" applyNumberFormat="1" applyBorder="1"/>
    <xf numFmtId="0" fontId="0" fillId="0" borderId="3" xfId="0" applyBorder="1"/>
    <xf numFmtId="164" fontId="0" fillId="0" borderId="7" xfId="0" applyNumberFormat="1" applyBorder="1"/>
    <xf numFmtId="0" fontId="0" fillId="0" borderId="13" xfId="0" applyBorder="1"/>
    <xf numFmtId="164" fontId="0" fillId="0" borderId="14" xfId="0" applyNumberFormat="1" applyBorder="1"/>
    <xf numFmtId="0" fontId="0" fillId="0" borderId="8" xfId="0" applyBorder="1"/>
    <xf numFmtId="0" fontId="0" fillId="0" borderId="4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I!$E$11:$AI$11</c:f>
              <c:numCache>
                <c:formatCode>0.0000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478624"/>
        <c:axId val="331482544"/>
      </c:scatterChart>
      <c:valAx>
        <c:axId val="3314786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2544"/>
        <c:crosses val="autoZero"/>
        <c:crossBetween val="midCat"/>
      </c:valAx>
      <c:valAx>
        <c:axId val="33148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7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II!$E$10:$AI$10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II!$E$11:$AI$11</c:f>
              <c:numCache>
                <c:formatCode>0.0000</c:formatCode>
                <c:ptCount val="31"/>
                <c:pt idx="0">
                  <c:v>244.22602142448702</c:v>
                </c:pt>
                <c:pt idx="1">
                  <c:v>237.55935475782036</c:v>
                </c:pt>
                <c:pt idx="2">
                  <c:v>231.05084157160962</c:v>
                </c:pt>
                <c:pt idx="3">
                  <c:v>224.69980904921826</c:v>
                </c:pt>
                <c:pt idx="4">
                  <c:v>218.50580899562496</c:v>
                </c:pt>
                <c:pt idx="5">
                  <c:v>212.46683819190488</c:v>
                </c:pt>
                <c:pt idx="6">
                  <c:v>206.58199019488626</c:v>
                </c:pt>
                <c:pt idx="7">
                  <c:v>200.84797655995072</c:v>
                </c:pt>
                <c:pt idx="8">
                  <c:v>195.2634132873184</c:v>
                </c:pt>
                <c:pt idx="9">
                  <c:v>189.82380030118856</c:v>
                </c:pt>
                <c:pt idx="10">
                  <c:v>184.52724903703552</c:v>
                </c:pt>
                <c:pt idx="11">
                  <c:v>179.36814732448454</c:v>
                </c:pt>
                <c:pt idx="12">
                  <c:v>174.34406956188712</c:v>
                </c:pt>
                <c:pt idx="13">
                  <c:v>169.44841364129897</c:v>
                </c:pt>
                <c:pt idx="14">
                  <c:v>164.67818179002472</c:v>
                </c:pt>
                <c:pt idx="15">
                  <c:v>160.02592270913681</c:v>
                </c:pt>
                <c:pt idx="16">
                  <c:v>155.48803188755616</c:v>
                </c:pt>
                <c:pt idx="17">
                  <c:v>151.05636359687861</c:v>
                </c:pt>
                <c:pt idx="18">
                  <c:v>146.72667607597342</c:v>
                </c:pt>
                <c:pt idx="19">
                  <c:v>142.49029301136505</c:v>
                </c:pt>
                <c:pt idx="20">
                  <c:v>138.3423125063681</c:v>
                </c:pt>
                <c:pt idx="21">
                  <c:v>134.2736954998694</c:v>
                </c:pt>
                <c:pt idx="22">
                  <c:v>130.27886816599238</c:v>
                </c:pt>
                <c:pt idx="23">
                  <c:v>126.34859548251717</c:v>
                </c:pt>
                <c:pt idx="24">
                  <c:v>122.47663416932727</c:v>
                </c:pt>
                <c:pt idx="25">
                  <c:v>118.65371417988258</c:v>
                </c:pt>
                <c:pt idx="26">
                  <c:v>114.87294223758036</c:v>
                </c:pt>
                <c:pt idx="27">
                  <c:v>111.12516399069182</c:v>
                </c:pt>
                <c:pt idx="28">
                  <c:v>107.40287470370899</c:v>
                </c:pt>
                <c:pt idx="29">
                  <c:v>103.6971724486977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480584"/>
        <c:axId val="331477448"/>
      </c:scatterChart>
      <c:valAx>
        <c:axId val="3314805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77448"/>
        <c:crosses val="autoZero"/>
        <c:crossBetween val="midCat"/>
      </c:valAx>
      <c:valAx>
        <c:axId val="331477448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48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428625</xdr:colOff>
      <xdr:row>15</xdr:row>
      <xdr:rowOff>76200</xdr:rowOff>
    </xdr:from>
    <xdr:to>
      <xdr:col>13</xdr:col>
      <xdr:colOff>123825</xdr:colOff>
      <xdr:row>32</xdr:row>
      <xdr:rowOff>33337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423862</xdr:colOff>
      <xdr:row>15</xdr:row>
      <xdr:rowOff>128587</xdr:rowOff>
    </xdr:from>
    <xdr:ext cx="6048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3500437" y="2986087"/>
              <a:ext cx="604838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3500437" y="2986087"/>
              <a:ext cx="604838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𝑇,[𝐶]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12</xdr:col>
      <xdr:colOff>252412</xdr:colOff>
      <xdr:row>30</xdr:row>
      <xdr:rowOff>176212</xdr:rowOff>
    </xdr:from>
    <xdr:ext cx="3816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7596187" y="5891212"/>
              <a:ext cx="38164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7596187" y="5891212"/>
              <a:ext cx="38164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𝐿,[𝑚]</a:t>
              </a:r>
              <a:endParaRPr lang="ru-RU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523875</xdr:colOff>
      <xdr:row>16</xdr:row>
      <xdr:rowOff>147637</xdr:rowOff>
    </xdr:from>
    <xdr:to>
      <xdr:col>16</xdr:col>
      <xdr:colOff>219075</xdr:colOff>
      <xdr:row>31</xdr:row>
      <xdr:rowOff>33337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528637</xdr:colOff>
      <xdr:row>16</xdr:row>
      <xdr:rowOff>176212</xdr:rowOff>
    </xdr:from>
    <xdr:ext cx="36048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/>
            <xdr:cNvSpPr txBox="1"/>
          </xdr:nvSpPr>
          <xdr:spPr>
            <a:xfrm>
              <a:off x="5434012" y="3252787"/>
              <a:ext cx="36048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2" name="TextBox 1"/>
            <xdr:cNvSpPr txBox="1"/>
          </xdr:nvSpPr>
          <xdr:spPr>
            <a:xfrm>
              <a:off x="5434012" y="3252787"/>
              <a:ext cx="36048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𝑇, [𝐶]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15</xdr:col>
      <xdr:colOff>376237</xdr:colOff>
      <xdr:row>29</xdr:row>
      <xdr:rowOff>128587</xdr:rowOff>
    </xdr:from>
    <xdr:ext cx="38164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9548812" y="5681662"/>
              <a:ext cx="38164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9548812" y="5681662"/>
              <a:ext cx="381643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𝐿, [𝑚]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3"/>
  <sheetViews>
    <sheetView workbookViewId="0">
      <selection activeCell="R27" sqref="R27"/>
    </sheetView>
  </sheetViews>
  <sheetFormatPr defaultRowHeight="15" x14ac:dyDescent="0.25"/>
  <cols>
    <col min="2" max="2" width="9.5703125" bestFit="1" customWidth="1"/>
  </cols>
  <sheetData>
    <row r="1" spans="1:35" x14ac:dyDescent="0.25">
      <c r="A1" s="4" t="s">
        <v>0</v>
      </c>
      <c r="B1" s="13">
        <v>0.1</v>
      </c>
      <c r="D1" s="2" t="s">
        <v>8</v>
      </c>
      <c r="E1" s="3">
        <v>300</v>
      </c>
    </row>
    <row r="2" spans="1:35" ht="15.75" thickBot="1" x14ac:dyDescent="0.3">
      <c r="A2" s="14" t="s">
        <v>1</v>
      </c>
      <c r="B2" s="15">
        <f>B1/30</f>
        <v>3.3333333333333335E-3</v>
      </c>
      <c r="D2" s="12" t="s">
        <v>9</v>
      </c>
      <c r="E2" s="17">
        <v>100</v>
      </c>
    </row>
    <row r="3" spans="1:35" x14ac:dyDescent="0.25">
      <c r="A3" s="14" t="s">
        <v>2</v>
      </c>
      <c r="B3" s="15">
        <f>(B6*B7*B2^2)/(2*B8)</f>
        <v>0.4333333333333334</v>
      </c>
    </row>
    <row r="4" spans="1:35" x14ac:dyDescent="0.25">
      <c r="A4" s="14" t="s">
        <v>3</v>
      </c>
      <c r="B4" s="15">
        <v>60</v>
      </c>
      <c r="C4">
        <v>60.233333333333341</v>
      </c>
    </row>
    <row r="5" spans="1:35" x14ac:dyDescent="0.25">
      <c r="A5" s="10"/>
      <c r="B5" s="11"/>
    </row>
    <row r="6" spans="1:35" x14ac:dyDescent="0.25">
      <c r="A6" s="14" t="s">
        <v>4</v>
      </c>
      <c r="B6" s="15">
        <v>460</v>
      </c>
    </row>
    <row r="7" spans="1:35" x14ac:dyDescent="0.25">
      <c r="A7" s="14" t="s">
        <v>5</v>
      </c>
      <c r="B7" s="15">
        <v>7800</v>
      </c>
    </row>
    <row r="8" spans="1:35" ht="15.75" thickBot="1" x14ac:dyDescent="0.3">
      <c r="A8" s="16" t="s">
        <v>6</v>
      </c>
      <c r="B8" s="9">
        <v>46</v>
      </c>
    </row>
    <row r="9" spans="1:35" x14ac:dyDescent="0.25">
      <c r="E9" s="4">
        <v>1</v>
      </c>
      <c r="F9" s="5">
        <v>2</v>
      </c>
      <c r="G9" s="5">
        <v>3</v>
      </c>
      <c r="H9" s="5">
        <v>4</v>
      </c>
      <c r="I9" s="5">
        <v>5</v>
      </c>
      <c r="J9" s="5">
        <v>6</v>
      </c>
      <c r="K9" s="5">
        <v>7</v>
      </c>
      <c r="L9" s="5">
        <v>8</v>
      </c>
      <c r="M9" s="5">
        <v>9</v>
      </c>
      <c r="N9" s="5">
        <v>10</v>
      </c>
      <c r="O9" s="5">
        <v>11</v>
      </c>
      <c r="P9" s="5">
        <v>12</v>
      </c>
      <c r="Q9" s="5">
        <v>13</v>
      </c>
      <c r="R9" s="5">
        <v>14</v>
      </c>
      <c r="S9" s="5">
        <v>15</v>
      </c>
      <c r="T9" s="5">
        <v>16</v>
      </c>
      <c r="U9" s="5">
        <v>17</v>
      </c>
      <c r="V9" s="5">
        <v>18</v>
      </c>
      <c r="W9" s="5">
        <v>19</v>
      </c>
      <c r="X9" s="5">
        <v>20</v>
      </c>
      <c r="Y9" s="5">
        <v>21</v>
      </c>
      <c r="Z9" s="5">
        <v>22</v>
      </c>
      <c r="AA9" s="5">
        <v>23</v>
      </c>
      <c r="AB9" s="5">
        <v>24</v>
      </c>
      <c r="AC9" s="5">
        <v>25</v>
      </c>
      <c r="AD9" s="5">
        <v>26</v>
      </c>
      <c r="AE9" s="5">
        <v>27</v>
      </c>
      <c r="AF9" s="5">
        <v>28</v>
      </c>
      <c r="AG9" s="5">
        <v>29</v>
      </c>
      <c r="AH9" s="5">
        <v>30</v>
      </c>
      <c r="AI9" s="6">
        <v>31</v>
      </c>
    </row>
    <row r="10" spans="1:35" ht="15.75" thickBot="1" x14ac:dyDescent="0.3">
      <c r="D10" t="s">
        <v>0</v>
      </c>
      <c r="E10" s="7">
        <v>0</v>
      </c>
      <c r="F10" s="8">
        <f>E10+$B$2</f>
        <v>3.3333333333333335E-3</v>
      </c>
      <c r="G10" s="8">
        <f>F10+$B$2</f>
        <v>6.6666666666666671E-3</v>
      </c>
      <c r="H10" s="8">
        <f t="shared" ref="H10:AI10" si="0">G10+$B$2</f>
        <v>0.01</v>
      </c>
      <c r="I10" s="8">
        <f t="shared" si="0"/>
        <v>1.3333333333333334E-2</v>
      </c>
      <c r="J10" s="8">
        <f t="shared" si="0"/>
        <v>1.6666666666666666E-2</v>
      </c>
      <c r="K10" s="8">
        <f t="shared" si="0"/>
        <v>0.02</v>
      </c>
      <c r="L10" s="8">
        <f t="shared" si="0"/>
        <v>2.3333333333333334E-2</v>
      </c>
      <c r="M10" s="8">
        <f t="shared" si="0"/>
        <v>2.6666666666666668E-2</v>
      </c>
      <c r="N10" s="8">
        <f t="shared" si="0"/>
        <v>3.0000000000000002E-2</v>
      </c>
      <c r="O10" s="8">
        <f t="shared" si="0"/>
        <v>3.3333333333333333E-2</v>
      </c>
      <c r="P10" s="8">
        <f t="shared" si="0"/>
        <v>3.6666666666666667E-2</v>
      </c>
      <c r="Q10" s="8">
        <f t="shared" si="0"/>
        <v>0.04</v>
      </c>
      <c r="R10" s="8">
        <f t="shared" si="0"/>
        <v>4.3333333333333335E-2</v>
      </c>
      <c r="S10" s="8">
        <f t="shared" si="0"/>
        <v>4.6666666666666669E-2</v>
      </c>
      <c r="T10" s="8">
        <f t="shared" si="0"/>
        <v>0.05</v>
      </c>
      <c r="U10" s="8">
        <f t="shared" si="0"/>
        <v>5.3333333333333337E-2</v>
      </c>
      <c r="V10" s="8">
        <f t="shared" si="0"/>
        <v>5.6666666666666671E-2</v>
      </c>
      <c r="W10" s="8">
        <f t="shared" si="0"/>
        <v>6.0000000000000005E-2</v>
      </c>
      <c r="X10" s="8">
        <f t="shared" si="0"/>
        <v>6.3333333333333339E-2</v>
      </c>
      <c r="Y10" s="8">
        <f t="shared" si="0"/>
        <v>6.6666666666666666E-2</v>
      </c>
      <c r="Z10" s="8">
        <f t="shared" si="0"/>
        <v>6.9999999999999993E-2</v>
      </c>
      <c r="AA10" s="8">
        <f t="shared" si="0"/>
        <v>7.333333333333332E-2</v>
      </c>
      <c r="AB10" s="8">
        <f t="shared" si="0"/>
        <v>7.6666666666666647E-2</v>
      </c>
      <c r="AC10" s="8">
        <f t="shared" si="0"/>
        <v>7.9999999999999974E-2</v>
      </c>
      <c r="AD10" s="8">
        <f t="shared" si="0"/>
        <v>8.3333333333333301E-2</v>
      </c>
      <c r="AE10" s="8">
        <f t="shared" si="0"/>
        <v>8.6666666666666628E-2</v>
      </c>
      <c r="AF10" s="8">
        <f t="shared" si="0"/>
        <v>8.9999999999999955E-2</v>
      </c>
      <c r="AG10" s="8">
        <f t="shared" si="0"/>
        <v>9.3333333333333282E-2</v>
      </c>
      <c r="AH10" s="8">
        <f t="shared" si="0"/>
        <v>9.6666666666666609E-2</v>
      </c>
      <c r="AI10" s="9">
        <f t="shared" si="0"/>
        <v>9.9999999999999936E-2</v>
      </c>
    </row>
    <row r="11" spans="1:35" x14ac:dyDescent="0.25">
      <c r="D11" t="s">
        <v>7</v>
      </c>
      <c r="E11" s="1">
        <f>E1</f>
        <v>300</v>
      </c>
      <c r="F11" s="1">
        <v>280.34602914679897</v>
      </c>
      <c r="G11" s="1">
        <v>260.69205829359794</v>
      </c>
      <c r="H11" s="1">
        <v>241.69187227593491</v>
      </c>
      <c r="I11" s="1">
        <v>222.69168625827183</v>
      </c>
      <c r="J11" s="1">
        <v>204.95390631913148</v>
      </c>
      <c r="K11" s="1">
        <v>187.21612637999107</v>
      </c>
      <c r="L11" s="1">
        <v>171.26453784334268</v>
      </c>
      <c r="M11" s="1">
        <v>155.31294930669429</v>
      </c>
      <c r="N11" s="1">
        <v>141.55671337374599</v>
      </c>
      <c r="O11" s="1">
        <v>127.80047744079765</v>
      </c>
      <c r="P11" s="1">
        <v>116.51671674932982</v>
      </c>
      <c r="Q11" s="1">
        <v>105.23295605786197</v>
      </c>
      <c r="R11" s="1">
        <v>96.561989352755049</v>
      </c>
      <c r="S11" s="1">
        <v>87.891022647648128</v>
      </c>
      <c r="T11" s="1">
        <v>81.842538774051832</v>
      </c>
      <c r="U11" s="1">
        <v>75.794054900455549</v>
      </c>
      <c r="V11" s="1">
        <v>72.261187114604226</v>
      </c>
      <c r="W11" s="1">
        <v>68.728319328752917</v>
      </c>
      <c r="X11" s="1">
        <v>67.506108522455037</v>
      </c>
      <c r="Y11" s="1">
        <v>66.283897716157142</v>
      </c>
      <c r="Z11" s="1">
        <v>67.088962026000345</v>
      </c>
      <c r="AA11" s="1">
        <v>67.894026335843549</v>
      </c>
      <c r="AB11" s="1">
        <v>70.383127200086093</v>
      </c>
      <c r="AC11" s="1">
        <v>72.872228064328638</v>
      </c>
      <c r="AD11" s="1">
        <v>76.658491877071754</v>
      </c>
      <c r="AE11" s="1">
        <v>80.444755689814855</v>
      </c>
      <c r="AF11" s="1">
        <v>85.111263870845988</v>
      </c>
      <c r="AG11" s="1">
        <v>89.777772051877108</v>
      </c>
      <c r="AH11" s="1">
        <v>94.888886025938547</v>
      </c>
      <c r="AI11" s="1">
        <f>E2</f>
        <v>100</v>
      </c>
    </row>
    <row r="13" spans="1:35" x14ac:dyDescent="0.25">
      <c r="D13" t="s">
        <v>10</v>
      </c>
      <c r="F13">
        <f>F11+(($B$8*$B$3)/($B$7*$B$6))*((G11-2*F11+E11)/($B$2^2))</f>
        <v>280.34602914679897</v>
      </c>
      <c r="G13">
        <f t="shared" ref="G13:AH13" si="1">G11+(($B$8*$B$3)/($B$7*$B$6))*((H11-2*G11+F11)/($B$2^2))</f>
        <v>261.01895071136693</v>
      </c>
      <c r="H13">
        <f t="shared" si="1"/>
        <v>241.69187227593488</v>
      </c>
      <c r="I13">
        <f t="shared" si="1"/>
        <v>223.32288929753321</v>
      </c>
      <c r="J13">
        <f t="shared" si="1"/>
        <v>204.95390631913145</v>
      </c>
      <c r="K13">
        <f t="shared" si="1"/>
        <v>188.10922208123708</v>
      </c>
      <c r="L13">
        <f t="shared" si="1"/>
        <v>171.26453784334268</v>
      </c>
      <c r="M13">
        <f t="shared" si="1"/>
        <v>156.41062560854434</v>
      </c>
      <c r="N13">
        <f t="shared" si="1"/>
        <v>141.55671337374596</v>
      </c>
      <c r="O13">
        <f t="shared" si="1"/>
        <v>129.0367150615379</v>
      </c>
      <c r="P13">
        <f t="shared" si="1"/>
        <v>116.51671674932982</v>
      </c>
      <c r="Q13">
        <f t="shared" si="1"/>
        <v>106.53935305104244</v>
      </c>
      <c r="R13">
        <f t="shared" si="1"/>
        <v>96.561989352755049</v>
      </c>
      <c r="S13">
        <f t="shared" si="1"/>
        <v>89.202264063403447</v>
      </c>
      <c r="T13">
        <f t="shared" si="1"/>
        <v>81.842538774051832</v>
      </c>
      <c r="U13">
        <f t="shared" si="1"/>
        <v>77.051862944328036</v>
      </c>
      <c r="V13">
        <f t="shared" si="1"/>
        <v>72.26118711460424</v>
      </c>
      <c r="W13">
        <f t="shared" si="1"/>
        <v>69.883647818529624</v>
      </c>
      <c r="X13">
        <f t="shared" si="1"/>
        <v>67.506108522455037</v>
      </c>
      <c r="Y13">
        <f t="shared" si="1"/>
        <v>67.297535274227698</v>
      </c>
      <c r="Z13">
        <f t="shared" si="1"/>
        <v>67.088962026000345</v>
      </c>
      <c r="AA13">
        <f t="shared" si="1"/>
        <v>68.736044613043219</v>
      </c>
      <c r="AB13">
        <f t="shared" si="1"/>
        <v>70.383127200086093</v>
      </c>
      <c r="AC13">
        <f t="shared" si="1"/>
        <v>73.520809538578931</v>
      </c>
      <c r="AD13">
        <f t="shared" si="1"/>
        <v>76.658491877071754</v>
      </c>
      <c r="AE13">
        <f t="shared" si="1"/>
        <v>80.884877873958871</v>
      </c>
      <c r="AF13">
        <f t="shared" si="1"/>
        <v>85.111263870845988</v>
      </c>
      <c r="AG13">
        <f t="shared" si="1"/>
        <v>90.000074948392268</v>
      </c>
      <c r="AH13">
        <f t="shared" si="1"/>
        <v>94.888886025938547</v>
      </c>
    </row>
  </sheetData>
  <conditionalFormatting sqref="E11:AI11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14"/>
  <sheetViews>
    <sheetView tabSelected="1" workbookViewId="0">
      <selection activeCell="F25" sqref="F25"/>
    </sheetView>
  </sheetViews>
  <sheetFormatPr defaultRowHeight="15" x14ac:dyDescent="0.25"/>
  <cols>
    <col min="2" max="2" width="9.5703125" bestFit="1" customWidth="1"/>
  </cols>
  <sheetData>
    <row r="1" spans="1:35" x14ac:dyDescent="0.25">
      <c r="A1" s="4" t="s">
        <v>0</v>
      </c>
      <c r="B1" s="13">
        <v>0.1</v>
      </c>
      <c r="D1" s="2" t="s">
        <v>8</v>
      </c>
      <c r="E1" s="3">
        <v>92000</v>
      </c>
    </row>
    <row r="2" spans="1:35" ht="15.75" thickBot="1" x14ac:dyDescent="0.3">
      <c r="A2" s="14" t="s">
        <v>1</v>
      </c>
      <c r="B2" s="15">
        <f>B1/30</f>
        <v>3.3333333333333335E-3</v>
      </c>
      <c r="D2" s="12" t="s">
        <v>9</v>
      </c>
      <c r="E2" s="17">
        <v>100</v>
      </c>
    </row>
    <row r="3" spans="1:35" x14ac:dyDescent="0.25">
      <c r="A3" s="14" t="s">
        <v>2</v>
      </c>
      <c r="B3" s="15">
        <f>(B6*B7*B2^2)/(2*B8)</f>
        <v>0.4333333333333334</v>
      </c>
    </row>
    <row r="4" spans="1:35" x14ac:dyDescent="0.25">
      <c r="A4" s="14" t="s">
        <v>3</v>
      </c>
      <c r="B4" s="15">
        <v>500</v>
      </c>
      <c r="C4">
        <v>500.06666666666672</v>
      </c>
    </row>
    <row r="5" spans="1:35" x14ac:dyDescent="0.25">
      <c r="A5" s="10"/>
      <c r="B5" s="11"/>
    </row>
    <row r="6" spans="1:35" x14ac:dyDescent="0.25">
      <c r="A6" s="14" t="s">
        <v>4</v>
      </c>
      <c r="B6" s="15">
        <v>460</v>
      </c>
    </row>
    <row r="7" spans="1:35" x14ac:dyDescent="0.25">
      <c r="A7" s="14" t="s">
        <v>5</v>
      </c>
      <c r="B7" s="15">
        <v>7800</v>
      </c>
    </row>
    <row r="8" spans="1:35" ht="15.75" thickBot="1" x14ac:dyDescent="0.3">
      <c r="A8" s="16" t="s">
        <v>6</v>
      </c>
      <c r="B8" s="9">
        <v>46</v>
      </c>
    </row>
    <row r="9" spans="1:35" x14ac:dyDescent="0.25">
      <c r="E9" s="4">
        <v>1</v>
      </c>
      <c r="F9" s="5">
        <v>2</v>
      </c>
      <c r="G9" s="5">
        <v>3</v>
      </c>
      <c r="H9" s="5">
        <v>4</v>
      </c>
      <c r="I9" s="5">
        <v>5</v>
      </c>
      <c r="J9" s="5">
        <v>6</v>
      </c>
      <c r="K9" s="5">
        <v>7</v>
      </c>
      <c r="L9" s="5">
        <v>8</v>
      </c>
      <c r="M9" s="5">
        <v>9</v>
      </c>
      <c r="N9" s="5">
        <v>10</v>
      </c>
      <c r="O9" s="5">
        <v>11</v>
      </c>
      <c r="P9" s="5">
        <v>12</v>
      </c>
      <c r="Q9" s="5">
        <v>13</v>
      </c>
      <c r="R9" s="5">
        <v>14</v>
      </c>
      <c r="S9" s="5">
        <v>15</v>
      </c>
      <c r="T9" s="5">
        <v>16</v>
      </c>
      <c r="U9" s="5">
        <v>17</v>
      </c>
      <c r="V9" s="5">
        <v>18</v>
      </c>
      <c r="W9" s="5">
        <v>19</v>
      </c>
      <c r="X9" s="5">
        <v>20</v>
      </c>
      <c r="Y9" s="5">
        <v>21</v>
      </c>
      <c r="Z9" s="5">
        <v>22</v>
      </c>
      <c r="AA9" s="5">
        <v>23</v>
      </c>
      <c r="AB9" s="5">
        <v>24</v>
      </c>
      <c r="AC9" s="5">
        <v>25</v>
      </c>
      <c r="AD9" s="5">
        <v>26</v>
      </c>
      <c r="AE9" s="5">
        <v>27</v>
      </c>
      <c r="AF9" s="5">
        <v>28</v>
      </c>
      <c r="AG9" s="5">
        <v>29</v>
      </c>
      <c r="AH9" s="5">
        <v>30</v>
      </c>
      <c r="AI9" s="6">
        <v>31</v>
      </c>
    </row>
    <row r="10" spans="1:35" ht="15.75" thickBot="1" x14ac:dyDescent="0.3">
      <c r="D10" t="s">
        <v>0</v>
      </c>
      <c r="E10" s="7">
        <v>0</v>
      </c>
      <c r="F10" s="8">
        <f>E10+$B$2</f>
        <v>3.3333333333333335E-3</v>
      </c>
      <c r="G10" s="8">
        <f>F10+$B$2</f>
        <v>6.6666666666666671E-3</v>
      </c>
      <c r="H10" s="8">
        <f t="shared" ref="H10:AI10" si="0">G10+$B$2</f>
        <v>0.01</v>
      </c>
      <c r="I10" s="8">
        <f t="shared" si="0"/>
        <v>1.3333333333333334E-2</v>
      </c>
      <c r="J10" s="8">
        <f t="shared" si="0"/>
        <v>1.6666666666666666E-2</v>
      </c>
      <c r="K10" s="8">
        <f t="shared" si="0"/>
        <v>0.02</v>
      </c>
      <c r="L10" s="8">
        <f t="shared" si="0"/>
        <v>2.3333333333333334E-2</v>
      </c>
      <c r="M10" s="8">
        <f t="shared" si="0"/>
        <v>2.6666666666666668E-2</v>
      </c>
      <c r="N10" s="8">
        <f t="shared" si="0"/>
        <v>3.0000000000000002E-2</v>
      </c>
      <c r="O10" s="8">
        <f t="shared" si="0"/>
        <v>3.3333333333333333E-2</v>
      </c>
      <c r="P10" s="8">
        <f t="shared" si="0"/>
        <v>3.6666666666666667E-2</v>
      </c>
      <c r="Q10" s="8">
        <f t="shared" si="0"/>
        <v>0.04</v>
      </c>
      <c r="R10" s="8">
        <f t="shared" si="0"/>
        <v>4.3333333333333335E-2</v>
      </c>
      <c r="S10" s="8">
        <f t="shared" si="0"/>
        <v>4.6666666666666669E-2</v>
      </c>
      <c r="T10" s="8">
        <f t="shared" si="0"/>
        <v>0.05</v>
      </c>
      <c r="U10" s="8">
        <f t="shared" si="0"/>
        <v>5.3333333333333337E-2</v>
      </c>
      <c r="V10" s="8">
        <f t="shared" si="0"/>
        <v>5.6666666666666671E-2</v>
      </c>
      <c r="W10" s="8">
        <f t="shared" si="0"/>
        <v>6.0000000000000005E-2</v>
      </c>
      <c r="X10" s="8">
        <f t="shared" si="0"/>
        <v>6.3333333333333339E-2</v>
      </c>
      <c r="Y10" s="8">
        <f t="shared" si="0"/>
        <v>6.6666666666666666E-2</v>
      </c>
      <c r="Z10" s="8">
        <f t="shared" si="0"/>
        <v>6.9999999999999993E-2</v>
      </c>
      <c r="AA10" s="8">
        <f t="shared" si="0"/>
        <v>7.333333333333332E-2</v>
      </c>
      <c r="AB10" s="8">
        <f t="shared" si="0"/>
        <v>7.6666666666666647E-2</v>
      </c>
      <c r="AC10" s="8">
        <f t="shared" si="0"/>
        <v>7.9999999999999974E-2</v>
      </c>
      <c r="AD10" s="8">
        <f t="shared" si="0"/>
        <v>8.3333333333333301E-2</v>
      </c>
      <c r="AE10" s="8">
        <f t="shared" si="0"/>
        <v>8.6666666666666628E-2</v>
      </c>
      <c r="AF10" s="8">
        <f t="shared" si="0"/>
        <v>8.9999999999999955E-2</v>
      </c>
      <c r="AG10" s="8">
        <f t="shared" si="0"/>
        <v>9.3333333333333282E-2</v>
      </c>
      <c r="AH10" s="8">
        <f t="shared" si="0"/>
        <v>9.6666666666666609E-2</v>
      </c>
      <c r="AI10" s="9">
        <f t="shared" si="0"/>
        <v>9.9999999999999936E-2</v>
      </c>
    </row>
    <row r="11" spans="1:35" x14ac:dyDescent="0.25">
      <c r="D11" t="s">
        <v>7</v>
      </c>
      <c r="E11" s="1">
        <f>(E1/B8)*B2+F11</f>
        <v>244.22602142448702</v>
      </c>
      <c r="F11" s="1">
        <v>237.55935475782036</v>
      </c>
      <c r="G11" s="1">
        <v>231.05084157160962</v>
      </c>
      <c r="H11" s="1">
        <v>224.69980904921826</v>
      </c>
      <c r="I11" s="1">
        <v>218.50580899562496</v>
      </c>
      <c r="J11" s="1">
        <v>212.46683819190488</v>
      </c>
      <c r="K11" s="1">
        <v>206.58199019488626</v>
      </c>
      <c r="L11" s="1">
        <v>200.84797655995072</v>
      </c>
      <c r="M11" s="1">
        <v>195.2634132873184</v>
      </c>
      <c r="N11" s="1">
        <v>189.82380030118856</v>
      </c>
      <c r="O11" s="1">
        <v>184.52724903703552</v>
      </c>
      <c r="P11" s="1">
        <v>179.36814732448454</v>
      </c>
      <c r="Q11" s="1">
        <v>174.34406956188712</v>
      </c>
      <c r="R11" s="1">
        <v>169.44841364129897</v>
      </c>
      <c r="S11" s="1">
        <v>164.67818179002472</v>
      </c>
      <c r="T11" s="1">
        <v>160.02592270913681</v>
      </c>
      <c r="U11" s="1">
        <v>155.48803188755616</v>
      </c>
      <c r="V11" s="1">
        <v>151.05636359687861</v>
      </c>
      <c r="W11" s="1">
        <v>146.72667607597342</v>
      </c>
      <c r="X11" s="1">
        <v>142.49029301136505</v>
      </c>
      <c r="Y11" s="1">
        <v>138.3423125063681</v>
      </c>
      <c r="Z11" s="1">
        <v>134.2736954998694</v>
      </c>
      <c r="AA11" s="1">
        <v>130.27886816599238</v>
      </c>
      <c r="AB11" s="1">
        <v>126.34859548251717</v>
      </c>
      <c r="AC11" s="1">
        <v>122.47663416932727</v>
      </c>
      <c r="AD11" s="1">
        <v>118.65371417988258</v>
      </c>
      <c r="AE11" s="1">
        <v>114.87294223758036</v>
      </c>
      <c r="AF11" s="1">
        <v>111.12516399069182</v>
      </c>
      <c r="AG11" s="1">
        <v>107.40287470370899</v>
      </c>
      <c r="AH11" s="1">
        <v>103.6971724486977</v>
      </c>
      <c r="AI11" s="1">
        <v>100</v>
      </c>
    </row>
    <row r="13" spans="1:35" x14ac:dyDescent="0.25">
      <c r="D13" t="s">
        <v>10</v>
      </c>
      <c r="F13">
        <f>F11+(($B$8*$B$3)/($B$7*$B$6))*((G11-2*F11+E11)/($B$2^2))</f>
        <v>237.63843149804831</v>
      </c>
      <c r="G13">
        <f t="shared" ref="G13:AH13" si="1">G11+(($B$8*$B$3)/($B$7*$B$6))*((H11-2*G11+F11)/($B$2^2))</f>
        <v>231.12958190351929</v>
      </c>
      <c r="H13">
        <f t="shared" si="1"/>
        <v>224.77832528361728</v>
      </c>
      <c r="I13">
        <f t="shared" si="1"/>
        <v>218.58332362056157</v>
      </c>
      <c r="J13">
        <f t="shared" si="1"/>
        <v>212.5438995952556</v>
      </c>
      <c r="K13">
        <f t="shared" si="1"/>
        <v>206.65740737592779</v>
      </c>
      <c r="L13">
        <f t="shared" si="1"/>
        <v>200.92270174110234</v>
      </c>
      <c r="M13">
        <f t="shared" si="1"/>
        <v>195.33588843056964</v>
      </c>
      <c r="N13">
        <f t="shared" si="1"/>
        <v>189.89533116217694</v>
      </c>
      <c r="O13">
        <f t="shared" si="1"/>
        <v>184.59597381283655</v>
      </c>
      <c r="P13">
        <f t="shared" si="1"/>
        <v>179.43565929946132</v>
      </c>
      <c r="Q13">
        <f t="shared" si="1"/>
        <v>174.40828048289177</v>
      </c>
      <c r="R13">
        <f t="shared" si="1"/>
        <v>169.51112567595592</v>
      </c>
      <c r="S13">
        <f t="shared" si="1"/>
        <v>164.7371681752179</v>
      </c>
      <c r="T13">
        <f t="shared" si="1"/>
        <v>160.08310683879046</v>
      </c>
      <c r="U13">
        <f t="shared" si="1"/>
        <v>155.54114315300771</v>
      </c>
      <c r="V13">
        <f t="shared" si="1"/>
        <v>151.10735398176479</v>
      </c>
      <c r="W13">
        <f t="shared" si="1"/>
        <v>146.77332830412183</v>
      </c>
      <c r="X13">
        <f t="shared" si="1"/>
        <v>142.53449429117074</v>
      </c>
      <c r="Y13">
        <f t="shared" si="1"/>
        <v>138.38199425561723</v>
      </c>
      <c r="Z13">
        <f t="shared" si="1"/>
        <v>134.31059033618024</v>
      </c>
      <c r="AA13">
        <f t="shared" si="1"/>
        <v>130.31114549119329</v>
      </c>
      <c r="AB13">
        <f t="shared" si="1"/>
        <v>126.37775116765982</v>
      </c>
      <c r="AC13">
        <f t="shared" si="1"/>
        <v>122.50115483119987</v>
      </c>
      <c r="AD13">
        <f t="shared" si="1"/>
        <v>118.67478820345382</v>
      </c>
      <c r="AE13">
        <f t="shared" si="1"/>
        <v>114.88943908528719</v>
      </c>
      <c r="AF13">
        <f t="shared" si="1"/>
        <v>111.13790847064467</v>
      </c>
      <c r="AG13">
        <f t="shared" si="1"/>
        <v>107.41116821969476</v>
      </c>
      <c r="AH13">
        <f t="shared" si="1"/>
        <v>103.70143735185449</v>
      </c>
    </row>
    <row r="14" spans="1:35" x14ac:dyDescent="0.25">
      <c r="D14" t="s">
        <v>11</v>
      </c>
      <c r="E14">
        <f>E1</f>
        <v>92000</v>
      </c>
      <c r="F14">
        <f>-$B$8*((F11-E11)/$B$2)</f>
        <v>91999.999999999869</v>
      </c>
      <c r="G14">
        <f t="shared" ref="G14:AH14" si="2">-$B$8*((G11-F11)/$B$2)</f>
        <v>89817.481969708126</v>
      </c>
      <c r="H14">
        <f t="shared" si="2"/>
        <v>87644.248809000812</v>
      </c>
      <c r="I14">
        <f t="shared" si="2"/>
        <v>85477.200739587526</v>
      </c>
      <c r="J14">
        <f t="shared" si="2"/>
        <v>83337.797091337037</v>
      </c>
      <c r="K14">
        <f t="shared" si="2"/>
        <v>81210.902358857013</v>
      </c>
      <c r="L14">
        <f t="shared" si="2"/>
        <v>79129.388162110394</v>
      </c>
      <c r="M14">
        <f t="shared" si="2"/>
        <v>77066.97316232606</v>
      </c>
      <c r="N14">
        <f t="shared" si="2"/>
        <v>75066.659208591853</v>
      </c>
      <c r="O14">
        <f t="shared" si="2"/>
        <v>73092.407445311925</v>
      </c>
      <c r="P14">
        <f t="shared" si="2"/>
        <v>71195.6036332035</v>
      </c>
      <c r="Q14">
        <f t="shared" si="2"/>
        <v>69332.273123844323</v>
      </c>
      <c r="R14">
        <f t="shared" si="2"/>
        <v>67560.051704116529</v>
      </c>
      <c r="S14">
        <f t="shared" si="2"/>
        <v>65829.199547584591</v>
      </c>
      <c r="T14">
        <f t="shared" si="2"/>
        <v>64201.17531625324</v>
      </c>
      <c r="U14">
        <f t="shared" si="2"/>
        <v>62622.893337812915</v>
      </c>
      <c r="V14">
        <f t="shared" si="2"/>
        <v>61157.022411350183</v>
      </c>
      <c r="W14">
        <f t="shared" si="2"/>
        <v>59749.687788491705</v>
      </c>
      <c r="X14">
        <f t="shared" si="2"/>
        <v>58462.086291595384</v>
      </c>
      <c r="Y14">
        <f t="shared" si="2"/>
        <v>57242.130968957928</v>
      </c>
      <c r="Z14">
        <f t="shared" si="2"/>
        <v>56146.914689682031</v>
      </c>
      <c r="AA14">
        <f t="shared" si="2"/>
        <v>55128.617207502961</v>
      </c>
      <c r="AB14">
        <f t="shared" si="2"/>
        <v>54237.763031957889</v>
      </c>
      <c r="AC14">
        <f t="shared" si="2"/>
        <v>53433.066122020617</v>
      </c>
      <c r="AD14">
        <f t="shared" si="2"/>
        <v>52756.295854336648</v>
      </c>
      <c r="AE14">
        <f t="shared" si="2"/>
        <v>52174.652803770681</v>
      </c>
      <c r="AF14">
        <f t="shared" si="2"/>
        <v>51719.339807061901</v>
      </c>
      <c r="AG14">
        <f t="shared" si="2"/>
        <v>51367.592160363027</v>
      </c>
      <c r="AH14">
        <f t="shared" si="2"/>
        <v>51138.691119155781</v>
      </c>
    </row>
  </sheetData>
  <conditionalFormatting sqref="E11:AI11">
    <cfRule type="colorScale" priority="1">
      <colorScale>
        <cfvo type="min"/>
        <cfvo type="percentile" val="50"/>
        <cfvo type="max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I</vt:lpstr>
      <vt:lpstr>II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Святкин</dc:creator>
  <cp:lastModifiedBy>Илья Святкин</cp:lastModifiedBy>
  <dcterms:created xsi:type="dcterms:W3CDTF">2021-03-05T14:39:39Z</dcterms:created>
  <dcterms:modified xsi:type="dcterms:W3CDTF">2021-03-09T19:31:12Z</dcterms:modified>
</cp:coreProperties>
</file>